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gradacao" sheetId="1" state="visible" r:id="rId1"/>
  </sheets>
  <definedNames>
    <definedName name="_xlnm._FilterDatabase" localSheetId="0" hidden="1">'degradacao'!$A$1:$Q$17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3" customWidth="1" min="8" max="8"/>
    <col width="1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26" customWidth="1" min="16" max="16"/>
    <col width="28" customWidth="1" min="17" max="17"/>
  </cols>
  <sheetData>
    <row r="1" ht="32" customHeight="1">
      <c r="A1" s="1" t="inlineStr">
        <is>
          <t>database</t>
        </is>
      </c>
      <c r="B1" s="1" t="inlineStr">
        <is>
          <t>operation</t>
        </is>
      </c>
      <c r="C1" s="1" t="inlineStr">
        <is>
          <t>scenario</t>
        </is>
      </c>
      <c r="D1" s="1" t="inlineStr">
        <is>
          <t>tps_100K</t>
        </is>
      </c>
      <c r="E1" s="1" t="inlineStr">
        <is>
          <t>tps_1M</t>
        </is>
      </c>
      <c r="F1" s="1" t="inlineStr">
        <is>
          <t>tps_10M</t>
        </is>
      </c>
      <c r="G1" s="1" t="inlineStr">
        <is>
          <t>lat_p95_100K</t>
        </is>
      </c>
      <c r="H1" s="1" t="inlineStr">
        <is>
          <t>lat_p95_1M</t>
        </is>
      </c>
      <c r="I1" s="1" t="inlineStr">
        <is>
          <t>lat_p95_10M</t>
        </is>
      </c>
      <c r="J1" s="1" t="inlineStr">
        <is>
          <t>delta_tps_100K_1M_pct</t>
        </is>
      </c>
      <c r="K1" s="1" t="inlineStr">
        <is>
          <t>delta_tps_1M_10M_pct</t>
        </is>
      </c>
      <c r="L1" s="1" t="inlineStr">
        <is>
          <t>delta_tps_100K_10M_pct</t>
        </is>
      </c>
      <c r="M1" s="1" t="inlineStr">
        <is>
          <t>delta_lat_100K_1M_pct</t>
        </is>
      </c>
      <c r="N1" s="1" t="inlineStr">
        <is>
          <t>delta_lat_1M_10M_pct</t>
        </is>
      </c>
      <c r="O1" s="1" t="inlineStr">
        <is>
          <t>delta_lat_100K_10M_pct</t>
        </is>
      </c>
      <c r="P1" s="1" t="inlineStr">
        <is>
          <t>Resumo TPS 100K→10M</t>
        </is>
      </c>
      <c r="Q1" s="1" t="inlineStr">
        <is>
          <t>Resumo Lat P95 100K→10M</t>
        </is>
      </c>
    </row>
    <row r="2">
      <c r="A2" t="inlineStr">
        <is>
          <t>mysql</t>
        </is>
      </c>
      <c r="B2" t="inlineStr">
        <is>
          <t>CREATE</t>
        </is>
      </c>
      <c r="C2" t="inlineStr">
        <is>
          <t>Sequencial</t>
        </is>
      </c>
      <c r="D2" s="2" t="n">
        <v>6496.481415925296</v>
      </c>
      <c r="E2" s="2" t="n">
        <v>1964.82279724273</v>
      </c>
      <c r="F2" s="2" t="n">
        <v>1000.299085460518</v>
      </c>
      <c r="G2" s="2" t="n">
        <v>20.7</v>
      </c>
      <c r="H2" s="2" t="n">
        <v>71.96799999999999</v>
      </c>
      <c r="I2" s="2" t="n">
        <v>125.102</v>
      </c>
      <c r="J2" s="2">
        <f>IFERROR((E2-D2)/D2*100,"")</f>
        <v/>
      </c>
      <c r="K2" s="2">
        <f>IFERROR((F2-E2)/E2*100,"")</f>
        <v/>
      </c>
      <c r="L2" s="2">
        <f>IFERROR((F2-D2)/D2*100,"")</f>
        <v/>
      </c>
      <c r="M2" s="2">
        <f>IFERROR((H2-G2)/G2*100,"")</f>
        <v/>
      </c>
      <c r="N2" s="2">
        <f>IFERROR((I2-H2)/H2*100,"")</f>
        <v/>
      </c>
      <c r="O2" s="2">
        <f>IFERROR((I2-G2)/G2*100,"")</f>
        <v/>
      </c>
      <c r="P2">
        <f>IFERROR(IF(L2&lt;0,"Degradou "&amp;TEXT(-L2,"0.0")&amp;"%","Melhorou "&amp;TEXT(L2,"0.0")&amp;"%"),"")</f>
        <v/>
      </c>
      <c r="Q2">
        <f>IFERROR(IF(O2&gt;0,"Degradou "&amp;TEXT(O2,"0.0")&amp;"%","Melhorou "&amp;TEXT(-O2,"0.0")&amp;"%"),"")</f>
        <v/>
      </c>
    </row>
    <row r="3">
      <c r="A3" t="inlineStr">
        <is>
          <t>mysql</t>
        </is>
      </c>
      <c r="B3" t="inlineStr">
        <is>
          <t>CREATE</t>
        </is>
      </c>
      <c r="C3" t="inlineStr">
        <is>
          <t>Paralelo</t>
        </is>
      </c>
      <c r="D3" s="2" t="n">
        <v>438.2316751147406</v>
      </c>
      <c r="E3" s="2" t="n">
        <v>324.9178903525085</v>
      </c>
      <c r="F3" s="2" t="n">
        <v>237.9404848812804</v>
      </c>
      <c r="G3" s="2" t="n">
        <v>277.896</v>
      </c>
      <c r="H3" s="2" t="n">
        <v>480.347</v>
      </c>
      <c r="I3" s="2" t="n">
        <v>480.257</v>
      </c>
      <c r="J3" s="2">
        <f>IFERROR((E3-D3)/D3*100,"")</f>
        <v/>
      </c>
      <c r="K3" s="2">
        <f>IFERROR((F3-E3)/E3*100,"")</f>
        <v/>
      </c>
      <c r="L3" s="2">
        <f>IFERROR((F3-D3)/D3*100,"")</f>
        <v/>
      </c>
      <c r="M3" s="2">
        <f>IFERROR((H3-G3)/G3*100,"")</f>
        <v/>
      </c>
      <c r="N3" s="2">
        <f>IFERROR((I3-H3)/H3*100,"")</f>
        <v/>
      </c>
      <c r="O3" s="2">
        <f>IFERROR((I3-G3)/G3*100,"")</f>
        <v/>
      </c>
      <c r="P3">
        <f>IFERROR(IF(L3&lt;0,"Degradou "&amp;TEXT(-L3,"0.0")&amp;"%","Melhorou "&amp;TEXT(L3,"0.0")&amp;"%"),"")</f>
        <v/>
      </c>
      <c r="Q3">
        <f>IFERROR(IF(O3&gt;0,"Degradou "&amp;TEXT(O3,"0.0")&amp;"%","Melhorou "&amp;TEXT(-O3,"0.0")&amp;"%"),"")</f>
        <v/>
      </c>
    </row>
    <row r="4">
      <c r="A4" t="inlineStr">
        <is>
          <t>mysql</t>
        </is>
      </c>
      <c r="B4" t="inlineStr">
        <is>
          <t>READ</t>
        </is>
      </c>
      <c r="C4" t="inlineStr">
        <is>
          <t>Sequencial</t>
        </is>
      </c>
      <c r="D4" s="2" t="n">
        <v>1997.616496970036</v>
      </c>
      <c r="E4" s="2" t="n">
        <v>1509.870071861152</v>
      </c>
      <c r="F4" s="2" t="n">
        <v>1236.088488284052</v>
      </c>
      <c r="G4" s="2" t="n">
        <v>28.723</v>
      </c>
      <c r="H4" s="2" t="n">
        <v>38.94</v>
      </c>
      <c r="I4" s="2" t="n">
        <v>45.385</v>
      </c>
      <c r="J4" s="2">
        <f>IFERROR((E4-D4)/D4*100,"")</f>
        <v/>
      </c>
      <c r="K4" s="2">
        <f>IFERROR((F4-E4)/E4*100,"")</f>
        <v/>
      </c>
      <c r="L4" s="2">
        <f>IFERROR((F4-D4)/D4*100,"")</f>
        <v/>
      </c>
      <c r="M4" s="2">
        <f>IFERROR((H4-G4)/G4*100,"")</f>
        <v/>
      </c>
      <c r="N4" s="2">
        <f>IFERROR((I4-H4)/H4*100,"")</f>
        <v/>
      </c>
      <c r="O4" s="2">
        <f>IFERROR((I4-G4)/G4*100,"")</f>
        <v/>
      </c>
      <c r="P4">
        <f>IFERROR(IF(L4&lt;0,"Degradou "&amp;TEXT(-L4,"0.0")&amp;"%","Melhorou "&amp;TEXT(L4,"0.0")&amp;"%"),"")</f>
        <v/>
      </c>
      <c r="Q4">
        <f>IFERROR(IF(O4&gt;0,"Degradou "&amp;TEXT(O4,"0.0")&amp;"%","Melhorou "&amp;TEXT(-O4,"0.0")&amp;"%"),"")</f>
        <v/>
      </c>
    </row>
    <row r="5">
      <c r="A5" t="inlineStr">
        <is>
          <t>mysql</t>
        </is>
      </c>
      <c r="B5" t="inlineStr">
        <is>
          <t>READ</t>
        </is>
      </c>
      <c r="C5" t="inlineStr">
        <is>
          <t>Paralelo</t>
        </is>
      </c>
      <c r="D5" s="2" t="n">
        <v>183.8368805412824</v>
      </c>
      <c r="E5" s="2" t="n">
        <v>161.424099717377</v>
      </c>
      <c r="F5" s="2" t="n">
        <v>140.3036482289279</v>
      </c>
      <c r="G5" s="2" t="n">
        <v>415.975</v>
      </c>
      <c r="H5" s="2" t="n">
        <v>419.8729999999999</v>
      </c>
      <c r="I5" s="2" t="n">
        <v>497.753</v>
      </c>
      <c r="J5" s="2">
        <f>IFERROR((E5-D5)/D5*100,"")</f>
        <v/>
      </c>
      <c r="K5" s="2">
        <f>IFERROR((F5-E5)/E5*100,"")</f>
        <v/>
      </c>
      <c r="L5" s="2">
        <f>IFERROR((F5-D5)/D5*100,"")</f>
        <v/>
      </c>
      <c r="M5" s="2">
        <f>IFERROR((H5-G5)/G5*100,"")</f>
        <v/>
      </c>
      <c r="N5" s="2">
        <f>IFERROR((I5-H5)/H5*100,"")</f>
        <v/>
      </c>
      <c r="O5" s="2">
        <f>IFERROR((I5-G5)/G5*100,"")</f>
        <v/>
      </c>
      <c r="P5">
        <f>IFERROR(IF(L5&lt;0,"Degradou "&amp;TEXT(-L5,"0.0")&amp;"%","Melhorou "&amp;TEXT(L5,"0.0")&amp;"%"),"")</f>
        <v/>
      </c>
      <c r="Q5">
        <f>IFERROR(IF(O5&gt;0,"Degradou "&amp;TEXT(O5,"0.0")&amp;"%","Melhorou "&amp;TEXT(-O5,"0.0")&amp;"%"),"")</f>
        <v/>
      </c>
    </row>
    <row r="6">
      <c r="A6" t="inlineStr">
        <is>
          <t>mysql</t>
        </is>
      </c>
      <c r="B6" t="inlineStr">
        <is>
          <t>UPDATE</t>
        </is>
      </c>
      <c r="C6" t="inlineStr">
        <is>
          <t>Sequencial</t>
        </is>
      </c>
      <c r="D6" s="2" t="n">
        <v>20957.77641519258</v>
      </c>
      <c r="E6" s="2" t="n">
        <v>6697.416107752035</v>
      </c>
      <c r="F6" s="2" t="n">
        <v>3052.503364212519</v>
      </c>
      <c r="G6" s="2" t="n">
        <v>3.394</v>
      </c>
      <c r="H6" s="2" t="n">
        <v>45.796</v>
      </c>
      <c r="I6" s="2" t="n">
        <v>58.745</v>
      </c>
      <c r="J6" s="2">
        <f>IFERROR((E6-D6)/D6*100,"")</f>
        <v/>
      </c>
      <c r="K6" s="2">
        <f>IFERROR((F6-E6)/E6*100,"")</f>
        <v/>
      </c>
      <c r="L6" s="2">
        <f>IFERROR((F6-D6)/D6*100,"")</f>
        <v/>
      </c>
      <c r="M6" s="2">
        <f>IFERROR((H6-G6)/G6*100,"")</f>
        <v/>
      </c>
      <c r="N6" s="2">
        <f>IFERROR((I6-H6)/H6*100,"")</f>
        <v/>
      </c>
      <c r="O6" s="2">
        <f>IFERROR((I6-G6)/G6*100,"")</f>
        <v/>
      </c>
      <c r="P6">
        <f>IFERROR(IF(L6&lt;0,"Degradou "&amp;TEXT(-L6,"0.0")&amp;"%","Melhorou "&amp;TEXT(L6,"0.0")&amp;"%"),"")</f>
        <v/>
      </c>
      <c r="Q6">
        <f>IFERROR(IF(O6&gt;0,"Degradou "&amp;TEXT(O6,"0.0")&amp;"%","Melhorou "&amp;TEXT(-O6,"0.0")&amp;"%"),"")</f>
        <v/>
      </c>
    </row>
    <row r="7">
      <c r="A7" t="inlineStr">
        <is>
          <t>mysql</t>
        </is>
      </c>
      <c r="B7" t="inlineStr">
        <is>
          <t>UPDATE</t>
        </is>
      </c>
      <c r="C7" t="inlineStr">
        <is>
          <t>Paralelo</t>
        </is>
      </c>
      <c r="D7" s="2" t="n">
        <v>1160.466987381118</v>
      </c>
      <c r="E7" s="2" t="n">
        <v>887.6702484744052</v>
      </c>
      <c r="F7" s="2" t="n">
        <v>928.5359421509012</v>
      </c>
      <c r="G7" s="2" t="n">
        <v>145.863</v>
      </c>
      <c r="H7" s="2" t="n">
        <v>205.965</v>
      </c>
      <c r="I7" s="2" t="n">
        <v>207.078</v>
      </c>
      <c r="J7" s="2">
        <f>IFERROR((E7-D7)/D7*100,"")</f>
        <v/>
      </c>
      <c r="K7" s="2">
        <f>IFERROR((F7-E7)/E7*100,"")</f>
        <v/>
      </c>
      <c r="L7" s="2">
        <f>IFERROR((F7-D7)/D7*100,"")</f>
        <v/>
      </c>
      <c r="M7" s="2">
        <f>IFERROR((H7-G7)/G7*100,"")</f>
        <v/>
      </c>
      <c r="N7" s="2">
        <f>IFERROR((I7-H7)/H7*100,"")</f>
        <v/>
      </c>
      <c r="O7" s="2">
        <f>IFERROR((I7-G7)/G7*100,"")</f>
        <v/>
      </c>
      <c r="P7">
        <f>IFERROR(IF(L7&lt;0,"Degradou "&amp;TEXT(-L7,"0.0")&amp;"%","Melhorou "&amp;TEXT(L7,"0.0")&amp;"%"),"")</f>
        <v/>
      </c>
      <c r="Q7">
        <f>IFERROR(IF(O7&gt;0,"Degradou "&amp;TEXT(O7,"0.0")&amp;"%","Melhorou "&amp;TEXT(-O7,"0.0")&amp;"%"),"")</f>
        <v/>
      </c>
    </row>
    <row r="8">
      <c r="A8" t="inlineStr">
        <is>
          <t>mysql</t>
        </is>
      </c>
      <c r="B8" t="inlineStr">
        <is>
          <t>DELETE</t>
        </is>
      </c>
      <c r="C8" t="inlineStr">
        <is>
          <t>Sequencial</t>
        </is>
      </c>
      <c r="D8" s="2" t="n">
        <v>71106.47493982066</v>
      </c>
      <c r="E8" s="2" t="n">
        <v>38122.65397591145</v>
      </c>
      <c r="F8" s="2" t="n">
        <v>3235.786084921552</v>
      </c>
      <c r="G8" s="2" t="n">
        <v>1.154</v>
      </c>
      <c r="H8" s="2" t="n">
        <v>12.27</v>
      </c>
      <c r="I8" s="2" t="n">
        <v>53.378</v>
      </c>
      <c r="J8" s="2">
        <f>IFERROR((E8-D8)/D8*100,"")</f>
        <v/>
      </c>
      <c r="K8" s="2">
        <f>IFERROR((F8-E8)/E8*100,"")</f>
        <v/>
      </c>
      <c r="L8" s="2">
        <f>IFERROR((F8-D8)/D8*100,"")</f>
        <v/>
      </c>
      <c r="M8" s="2">
        <f>IFERROR((H8-G8)/G8*100,"")</f>
        <v/>
      </c>
      <c r="N8" s="2">
        <f>IFERROR((I8-H8)/H8*100,"")</f>
        <v/>
      </c>
      <c r="O8" s="2">
        <f>IFERROR((I8-G8)/G8*100,"")</f>
        <v/>
      </c>
      <c r="P8">
        <f>IFERROR(IF(L8&lt;0,"Degradou "&amp;TEXT(-L8,"0.0")&amp;"%","Melhorou "&amp;TEXT(L8,"0.0")&amp;"%"),"")</f>
        <v/>
      </c>
      <c r="Q8">
        <f>IFERROR(IF(O8&gt;0,"Degradou "&amp;TEXT(O8,"0.0")&amp;"%","Melhorou "&amp;TEXT(-O8,"0.0")&amp;"%"),"")</f>
        <v/>
      </c>
    </row>
    <row r="9">
      <c r="A9" t="inlineStr">
        <is>
          <t>mysql</t>
        </is>
      </c>
      <c r="B9" t="inlineStr">
        <is>
          <t>DELETE</t>
        </is>
      </c>
      <c r="C9" t="inlineStr">
        <is>
          <t>Paralelo</t>
        </is>
      </c>
      <c r="D9" s="2" t="n">
        <v>3721.733294272499</v>
      </c>
      <c r="E9" s="2" t="n">
        <v>2182.301233671341</v>
      </c>
      <c r="F9" s="2" t="n">
        <v>975.931796287108</v>
      </c>
      <c r="G9" s="2" t="n">
        <v>35.981</v>
      </c>
      <c r="H9" s="2" t="n">
        <v>144.574</v>
      </c>
      <c r="I9" s="2" t="n">
        <v>242.555</v>
      </c>
      <c r="J9" s="2">
        <f>IFERROR((E9-D9)/D9*100,"")</f>
        <v/>
      </c>
      <c r="K9" s="2">
        <f>IFERROR((F9-E9)/E9*100,"")</f>
        <v/>
      </c>
      <c r="L9" s="2">
        <f>IFERROR((F9-D9)/D9*100,"")</f>
        <v/>
      </c>
      <c r="M9" s="2">
        <f>IFERROR((H9-G9)/G9*100,"")</f>
        <v/>
      </c>
      <c r="N9" s="2">
        <f>IFERROR((I9-H9)/H9*100,"")</f>
        <v/>
      </c>
      <c r="O9" s="2">
        <f>IFERROR((I9-G9)/G9*100,"")</f>
        <v/>
      </c>
      <c r="P9">
        <f>IFERROR(IF(L9&lt;0,"Degradou "&amp;TEXT(-L9,"0.0")&amp;"%","Melhorou "&amp;TEXT(L9,"0.0")&amp;"%"),"")</f>
        <v/>
      </c>
      <c r="Q9">
        <f>IFERROR(IF(O9&gt;0,"Degradou "&amp;TEXT(O9,"0.0")&amp;"%","Melhorou "&amp;TEXT(-O9,"0.0")&amp;"%"),"")</f>
        <v/>
      </c>
    </row>
    <row r="10">
      <c r="A10" t="inlineStr">
        <is>
          <t>vitess</t>
        </is>
      </c>
      <c r="B10" t="inlineStr">
        <is>
          <t>CREATE</t>
        </is>
      </c>
      <c r="C10" t="inlineStr">
        <is>
          <t>Sequencial</t>
        </is>
      </c>
      <c r="D10" s="2" t="n">
        <v>328.9566666666666</v>
      </c>
      <c r="E10" s="2" t="n">
        <v>201.8116666666667</v>
      </c>
      <c r="F10" s="2" t="n">
        <v>294.1016666666666</v>
      </c>
      <c r="G10" s="2" t="n">
        <v>260.329</v>
      </c>
      <c r="H10" s="2" t="n">
        <v>447.5980000000001</v>
      </c>
      <c r="I10" s="2" t="n">
        <v>288.47</v>
      </c>
      <c r="J10" s="2">
        <f>IFERROR((E10-D10)/D10*100,"")</f>
        <v/>
      </c>
      <c r="K10" s="2">
        <f>IFERROR((F10-E10)/E10*100,"")</f>
        <v/>
      </c>
      <c r="L10" s="2">
        <f>IFERROR((F10-D10)/D10*100,"")</f>
        <v/>
      </c>
      <c r="M10" s="2">
        <f>IFERROR((H10-G10)/G10*100,"")</f>
        <v/>
      </c>
      <c r="N10" s="2">
        <f>IFERROR((I10-H10)/H10*100,"")</f>
        <v/>
      </c>
      <c r="O10" s="2">
        <f>IFERROR((I10-G10)/G10*100,"")</f>
        <v/>
      </c>
      <c r="P10">
        <f>IFERROR(IF(L10&lt;0,"Degradou "&amp;TEXT(-L10,"0.0")&amp;"%","Melhorou "&amp;TEXT(L10,"0.0")&amp;"%"),"")</f>
        <v/>
      </c>
      <c r="Q10">
        <f>IFERROR(IF(O10&gt;0,"Degradou "&amp;TEXT(O10,"0.0")&amp;"%","Melhorou "&amp;TEXT(-O10,"0.0")&amp;"%"),"")</f>
        <v/>
      </c>
    </row>
    <row r="11">
      <c r="A11" t="inlineStr">
        <is>
          <t>vitess</t>
        </is>
      </c>
      <c r="B11" t="inlineStr">
        <is>
          <t>CREATE</t>
        </is>
      </c>
      <c r="C11" t="inlineStr">
        <is>
          <t>Paralelo</t>
        </is>
      </c>
      <c r="D11" s="2" t="n">
        <v>43.79665300546448</v>
      </c>
      <c r="E11" s="2" t="n">
        <v>42.13833333333334</v>
      </c>
      <c r="F11" s="2" t="n">
        <v>38.945</v>
      </c>
      <c r="G11" s="2" t="n">
        <v>2027.676</v>
      </c>
      <c r="H11" s="2" t="n">
        <v>1832.452</v>
      </c>
      <c r="I11" s="2" t="n">
        <v>1991.275</v>
      </c>
      <c r="J11" s="2">
        <f>IFERROR((E11-D11)/D11*100,"")</f>
        <v/>
      </c>
      <c r="K11" s="2">
        <f>IFERROR((F11-E11)/E11*100,"")</f>
        <v/>
      </c>
      <c r="L11" s="2">
        <f>IFERROR((F11-D11)/D11*100,"")</f>
        <v/>
      </c>
      <c r="M11" s="2">
        <f>IFERROR((H11-G11)/G11*100,"")</f>
        <v/>
      </c>
      <c r="N11" s="2">
        <f>IFERROR((I11-H11)/H11*100,"")</f>
        <v/>
      </c>
      <c r="O11" s="2">
        <f>IFERROR((I11-G11)/G11*100,"")</f>
        <v/>
      </c>
      <c r="P11">
        <f>IFERROR(IF(L11&lt;0,"Degradou "&amp;TEXT(-L11,"0.0")&amp;"%","Melhorou "&amp;TEXT(L11,"0.0")&amp;"%"),"")</f>
        <v/>
      </c>
      <c r="Q11">
        <f>IFERROR(IF(O11&gt;0,"Degradou "&amp;TEXT(O11,"0.0")&amp;"%","Melhorou "&amp;TEXT(-O11,"0.0")&amp;"%"),"")</f>
        <v/>
      </c>
    </row>
    <row r="12">
      <c r="A12" t="inlineStr">
        <is>
          <t>vitess</t>
        </is>
      </c>
      <c r="B12" t="inlineStr">
        <is>
          <t>READ</t>
        </is>
      </c>
      <c r="C12" t="inlineStr">
        <is>
          <t>Sequencial</t>
        </is>
      </c>
      <c r="D12" s="2" t="n">
        <v>143.2916666666667</v>
      </c>
      <c r="E12" s="2" t="n">
        <v>91.02</v>
      </c>
      <c r="F12" s="2" t="n">
        <v>127.64</v>
      </c>
      <c r="G12" s="2" t="n">
        <v>589.607</v>
      </c>
      <c r="H12" s="2" t="n">
        <v>1006.02</v>
      </c>
      <c r="I12" s="2" t="n">
        <v>659.096</v>
      </c>
      <c r="J12" s="2">
        <f>IFERROR((E12-D12)/D12*100,"")</f>
        <v/>
      </c>
      <c r="K12" s="2">
        <f>IFERROR((F12-E12)/E12*100,"")</f>
        <v/>
      </c>
      <c r="L12" s="2">
        <f>IFERROR((F12-D12)/D12*100,"")</f>
        <v/>
      </c>
      <c r="M12" s="2">
        <f>IFERROR((H12-G12)/G12*100,"")</f>
        <v/>
      </c>
      <c r="N12" s="2">
        <f>IFERROR((I12-H12)/H12*100,"")</f>
        <v/>
      </c>
      <c r="O12" s="2">
        <f>IFERROR((I12-G12)/G12*100,"")</f>
        <v/>
      </c>
      <c r="P12">
        <f>IFERROR(IF(L12&lt;0,"Degradou "&amp;TEXT(-L12,"0.0")&amp;"%","Melhorou "&amp;TEXT(L12,"0.0")&amp;"%"),"")</f>
        <v/>
      </c>
      <c r="Q12">
        <f>IFERROR(IF(O12&gt;0,"Degradou "&amp;TEXT(O12,"0.0")&amp;"%","Melhorou "&amp;TEXT(-O12,"0.0")&amp;"%"),"")</f>
        <v/>
      </c>
    </row>
    <row r="13">
      <c r="A13" t="inlineStr">
        <is>
          <t>vitess</t>
        </is>
      </c>
      <c r="B13" t="inlineStr">
        <is>
          <t>READ</t>
        </is>
      </c>
      <c r="C13" t="inlineStr">
        <is>
          <t>Paralelo</t>
        </is>
      </c>
      <c r="D13" s="2" t="n">
        <v>19.82083333333333</v>
      </c>
      <c r="E13" s="2" t="n">
        <v>19.8</v>
      </c>
      <c r="F13" s="2" t="n">
        <v>19.945</v>
      </c>
      <c r="G13" s="2" t="n">
        <v>4503.744000000001</v>
      </c>
      <c r="H13" s="2" t="n">
        <v>4493.711</v>
      </c>
      <c r="I13" s="2" t="n">
        <v>4366.149</v>
      </c>
      <c r="J13" s="2">
        <f>IFERROR((E13-D13)/D13*100,"")</f>
        <v/>
      </c>
      <c r="K13" s="2">
        <f>IFERROR((F13-E13)/E13*100,"")</f>
        <v/>
      </c>
      <c r="L13" s="2">
        <f>IFERROR((F13-D13)/D13*100,"")</f>
        <v/>
      </c>
      <c r="M13" s="2">
        <f>IFERROR((H13-G13)/G13*100,"")</f>
        <v/>
      </c>
      <c r="N13" s="2">
        <f>IFERROR((I13-H13)/H13*100,"")</f>
        <v/>
      </c>
      <c r="O13" s="2">
        <f>IFERROR((I13-G13)/G13*100,"")</f>
        <v/>
      </c>
      <c r="P13">
        <f>IFERROR(IF(L13&lt;0,"Degradou "&amp;TEXT(-L13,"0.0")&amp;"%","Melhorou "&amp;TEXT(L13,"0.0")&amp;"%"),"")</f>
        <v/>
      </c>
      <c r="Q13">
        <f>IFERROR(IF(O13&gt;0,"Degradou "&amp;TEXT(O13,"0.0")&amp;"%","Melhorou "&amp;TEXT(-O13,"0.0")&amp;"%"),"")</f>
        <v/>
      </c>
    </row>
    <row r="14">
      <c r="A14" t="inlineStr">
        <is>
          <t>vitess</t>
        </is>
      </c>
      <c r="B14" t="inlineStr">
        <is>
          <t>UPDATE</t>
        </is>
      </c>
      <c r="C14" t="inlineStr">
        <is>
          <t>Sequencial</t>
        </is>
      </c>
      <c r="D14" s="2" t="n">
        <v>1136.646666666667</v>
      </c>
      <c r="E14" s="2" t="n">
        <v>706.865</v>
      </c>
      <c r="F14" s="2" t="n">
        <v>983.39</v>
      </c>
      <c r="G14" s="2" t="n">
        <v>97.93000000000001</v>
      </c>
      <c r="H14" s="2" t="n">
        <v>164.77</v>
      </c>
      <c r="I14" s="2" t="n">
        <v>111.558</v>
      </c>
      <c r="J14" s="2">
        <f>IFERROR((E14-D14)/D14*100,"")</f>
        <v/>
      </c>
      <c r="K14" s="2">
        <f>IFERROR((F14-E14)/E14*100,"")</f>
        <v/>
      </c>
      <c r="L14" s="2">
        <f>IFERROR((F14-D14)/D14*100,"")</f>
        <v/>
      </c>
      <c r="M14" s="2">
        <f>IFERROR((H14-G14)/G14*100,"")</f>
        <v/>
      </c>
      <c r="N14" s="2">
        <f>IFERROR((I14-H14)/H14*100,"")</f>
        <v/>
      </c>
      <c r="O14" s="2">
        <f>IFERROR((I14-G14)/G14*100,"")</f>
        <v/>
      </c>
      <c r="P14">
        <f>IFERROR(IF(L14&lt;0,"Degradou "&amp;TEXT(-L14,"0.0")&amp;"%","Melhorou "&amp;TEXT(L14,"0.0")&amp;"%"),"")</f>
        <v/>
      </c>
      <c r="Q14">
        <f>IFERROR(IF(O14&gt;0,"Degradou "&amp;TEXT(O14,"0.0")&amp;"%","Melhorou "&amp;TEXT(-O14,"0.0")&amp;"%"),"")</f>
        <v/>
      </c>
    </row>
    <row r="15">
      <c r="A15" t="inlineStr">
        <is>
          <t>vitess</t>
        </is>
      </c>
      <c r="B15" t="inlineStr">
        <is>
          <t>UPDATE</t>
        </is>
      </c>
      <c r="C15" t="inlineStr">
        <is>
          <t>Paralelo</t>
        </is>
      </c>
      <c r="D15" s="2" t="n">
        <v>177.9841666666667</v>
      </c>
      <c r="E15" s="2" t="n">
        <v>166.9383333333333</v>
      </c>
      <c r="F15" s="2" t="n">
        <v>166.315</v>
      </c>
      <c r="G15" s="2" t="n">
        <v>704.629</v>
      </c>
      <c r="H15" s="2" t="n">
        <v>682.475</v>
      </c>
      <c r="I15" s="2" t="n">
        <v>634.8430000000001</v>
      </c>
      <c r="J15" s="2">
        <f>IFERROR((E15-D15)/D15*100,"")</f>
        <v/>
      </c>
      <c r="K15" s="2">
        <f>IFERROR((F15-E15)/E15*100,"")</f>
        <v/>
      </c>
      <c r="L15" s="2">
        <f>IFERROR((F15-D15)/D15*100,"")</f>
        <v/>
      </c>
      <c r="M15" s="2">
        <f>IFERROR((H15-G15)/G15*100,"")</f>
        <v/>
      </c>
      <c r="N15" s="2">
        <f>IFERROR((I15-H15)/H15*100,"")</f>
        <v/>
      </c>
      <c r="O15" s="2">
        <f>IFERROR((I15-G15)/G15*100,"")</f>
        <v/>
      </c>
      <c r="P15">
        <f>IFERROR(IF(L15&lt;0,"Degradou "&amp;TEXT(-L15,"0.0")&amp;"%","Melhorou "&amp;TEXT(L15,"0.0")&amp;"%"),"")</f>
        <v/>
      </c>
      <c r="Q15">
        <f>IFERROR(IF(O15&gt;0,"Degradou "&amp;TEXT(O15,"0.0")&amp;"%","Melhorou "&amp;TEXT(-O15,"0.0")&amp;"%"),"")</f>
        <v/>
      </c>
    </row>
    <row r="16">
      <c r="A16" t="inlineStr">
        <is>
          <t>vitess</t>
        </is>
      </c>
      <c r="B16" t="inlineStr">
        <is>
          <t>DELETE</t>
        </is>
      </c>
      <c r="C16" t="inlineStr">
        <is>
          <t>Sequencial</t>
        </is>
      </c>
      <c r="D16" s="2" t="n">
        <v>3159.365</v>
      </c>
      <c r="E16" s="2" t="n">
        <v>1078.8325</v>
      </c>
      <c r="F16" s="2" t="n">
        <v>1037.568333333333</v>
      </c>
      <c r="G16" s="2" t="n">
        <v>41.486</v>
      </c>
      <c r="H16" s="2" t="n">
        <v>133.0385</v>
      </c>
      <c r="I16" s="2" t="n">
        <v>107.459</v>
      </c>
      <c r="J16" s="2">
        <f>IFERROR((E16-D16)/D16*100,"")</f>
        <v/>
      </c>
      <c r="K16" s="2">
        <f>IFERROR((F16-E16)/E16*100,"")</f>
        <v/>
      </c>
      <c r="L16" s="2">
        <f>IFERROR((F16-D16)/D16*100,"")</f>
        <v/>
      </c>
      <c r="M16" s="2">
        <f>IFERROR((H16-G16)/G16*100,"")</f>
        <v/>
      </c>
      <c r="N16" s="2">
        <f>IFERROR((I16-H16)/H16*100,"")</f>
        <v/>
      </c>
      <c r="O16" s="2">
        <f>IFERROR((I16-G16)/G16*100,"")</f>
        <v/>
      </c>
      <c r="P16">
        <f>IFERROR(IF(L16&lt;0,"Degradou "&amp;TEXT(-L16,"0.0")&amp;"%","Melhorou "&amp;TEXT(L16,"0.0")&amp;"%"),"")</f>
        <v/>
      </c>
      <c r="Q16">
        <f>IFERROR(IF(O16&gt;0,"Degradou "&amp;TEXT(O16,"0.0")&amp;"%","Melhorou "&amp;TEXT(-O16,"0.0")&amp;"%"),"")</f>
        <v/>
      </c>
    </row>
    <row r="17">
      <c r="A17" t="inlineStr">
        <is>
          <t>vitess</t>
        </is>
      </c>
      <c r="B17" t="inlineStr">
        <is>
          <t>DELETE</t>
        </is>
      </c>
      <c r="C17" t="inlineStr">
        <is>
          <t>Paralelo</t>
        </is>
      </c>
      <c r="D17" s="2" t="n">
        <v>315.9633333333333</v>
      </c>
      <c r="E17" s="2" t="n">
        <v>274.9866666666667</v>
      </c>
      <c r="F17" s="2" t="n">
        <v>302.7016666666667</v>
      </c>
      <c r="G17" s="2" t="n">
        <v>475.1085</v>
      </c>
      <c r="H17" s="2" t="n">
        <v>483.59</v>
      </c>
      <c r="I17" s="2" t="n">
        <v>458.99</v>
      </c>
      <c r="J17" s="2">
        <f>IFERROR((E17-D17)/D17*100,"")</f>
        <v/>
      </c>
      <c r="K17" s="2">
        <f>IFERROR((F17-E17)/E17*100,"")</f>
        <v/>
      </c>
      <c r="L17" s="2">
        <f>IFERROR((F17-D17)/D17*100,"")</f>
        <v/>
      </c>
      <c r="M17" s="2">
        <f>IFERROR((H17-G17)/G17*100,"")</f>
        <v/>
      </c>
      <c r="N17" s="2">
        <f>IFERROR((I17-H17)/H17*100,"")</f>
        <v/>
      </c>
      <c r="O17" s="2">
        <f>IFERROR((I17-G17)/G17*100,"")</f>
        <v/>
      </c>
      <c r="P17">
        <f>IFERROR(IF(L17&lt;0,"Degradou "&amp;TEXT(-L17,"0.0")&amp;"%","Melhorou "&amp;TEXT(L17,"0.0")&amp;"%"),"")</f>
        <v/>
      </c>
      <c r="Q17">
        <f>IFERROR(IF(O17&gt;0,"Degradou "&amp;TEXT(O17,"0.0")&amp;"%","Melhorou "&amp;TEXT(-O17,"0.0")&amp;"%"),"")</f>
        <v/>
      </c>
    </row>
  </sheetData>
  <autoFilter ref="A1:Q17"/>
  <conditionalFormatting sqref="J2:L17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M2:O17">
    <cfRule type="colorScale" priority="2">
      <colorScale>
        <cfvo type="min"/>
        <cfvo type="num" val="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2026-05-26T17:31:54Z</dcterms:created>
  <dcterms:modified xsi:type="dcterms:W3CDTF">2026-05-26T17:31:54Z</dcterms:modified>
</cp:coreProperties>
</file>